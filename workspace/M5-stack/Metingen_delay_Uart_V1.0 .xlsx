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https://dehaagsehogeschool.sharepoint.com/sites/Bedrijfsprojectmobilesensoringrobot_groups/Gedeelde documenten/Onderzoeken/"/>
    </mc:Choice>
  </mc:AlternateContent>
  <xr:revisionPtr revIDLastSave="3" documentId="8_{DC8C4D48-6634-C042-9F0A-548D6161D842}" xr6:coauthVersionLast="47" xr6:coauthVersionMax="47" xr10:uidLastSave="{FE2140AA-9F4A-7F4B-AC5F-FB437C0C522B}"/>
  <bookViews>
    <workbookView xWindow="280" yWindow="500" windowWidth="28240" windowHeight="16560" xr2:uid="{BA368248-FEC0-984B-AF0D-1073F9ACBEBB}"/>
  </bookViews>
  <sheets>
    <sheet name="Blad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2" i="1"/>
  <c r="L4" i="1" l="1"/>
  <c r="L5"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2" i="1"/>
</calcChain>
</file>

<file path=xl/sharedStrings.xml><?xml version="1.0" encoding="utf-8"?>
<sst xmlns="http://schemas.openxmlformats.org/spreadsheetml/2006/main" count="14" uniqueCount="10">
  <si>
    <t>Measurement ID</t>
  </si>
  <si>
    <t>Tijd in miliseconden</t>
  </si>
  <si>
    <t>Tijd in seconden</t>
  </si>
  <si>
    <t>Average delay</t>
  </si>
  <si>
    <t>ms</t>
  </si>
  <si>
    <t>Min delay</t>
  </si>
  <si>
    <t>Max delay</t>
  </si>
  <si>
    <t>Standaardafwijking</t>
  </si>
  <si>
    <t>Ik pak dan even een onzekerheid van average +/- standaardafwijking</t>
  </si>
  <si>
    <t xml:space="preserve">6,3+/-0,3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</si>
</sst>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000"/>
    <numFmt numFmtId="174" formatCode="0.0"/>
  </numFmts>
  <fonts count="5" x14ac:knownFonts="1">
    <font>
      <sz val="12"/>
      <color theme="1"/>
      <name val="Aptos Narrow"/>
      <family val="2"/>
      <scheme val="minor"/>
    </font>
    <font>
      <sz val="12"/>
      <color rgb="FF393E47"/>
      <name val="Arial"/>
      <family val="2"/>
    </font>
    <font>
      <sz val="12"/>
      <color theme="1"/>
      <name val="Aptos Narrow"/>
      <scheme val="minor"/>
    </font>
    <font>
      <b/>
      <sz val="12"/>
      <color rgb="FF000000"/>
      <name val="Aptos Narrow"/>
      <scheme val="minor"/>
    </font>
    <font>
      <b/>
      <sz val="12"/>
      <color theme="1"/>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s>
  <borders count="4">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172" fontId="2" fillId="3" borderId="3" xfId="0" applyNumberFormat="1" applyFont="1" applyFill="1" applyBorder="1"/>
    <xf numFmtId="174" fontId="0" fillId="3" borderId="3" xfId="0" applyNumberFormat="1" applyFill="1" applyBorder="1"/>
    <xf numFmtId="0" fontId="0" fillId="3" borderId="3" xfId="0" applyFill="1" applyBorder="1"/>
    <xf numFmtId="0" fontId="3" fillId="2" borderId="2" xfId="0" applyNumberFormat="1" applyFont="1" applyFill="1" applyBorder="1" applyAlignment="1">
      <alignment horizontal="center" wrapText="1"/>
    </xf>
    <xf numFmtId="0"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3" fillId="2" borderId="3" xfId="0" applyNumberFormat="1" applyFont="1" applyFill="1" applyBorder="1" applyAlignment="1">
      <alignment horizontal="center"/>
    </xf>
    <xf numFmtId="0" fontId="4" fillId="2" borderId="3" xfId="0" applyFont="1" applyFill="1" applyBorder="1"/>
    <xf numFmtId="0" fontId="4" fillId="2" borderId="3" xfId="0" applyFont="1" applyFill="1" applyBorder="1" applyAlignment="1">
      <alignment horizontal="center"/>
    </xf>
    <xf numFmtId="0" fontId="0" fillId="3" borderId="3" xfId="0" applyFill="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12700</xdr:colOff>
      <xdr:row>1</xdr:row>
      <xdr:rowOff>12700</xdr:rowOff>
    </xdr:from>
    <xdr:to>
      <xdr:col>8</xdr:col>
      <xdr:colOff>812800</xdr:colOff>
      <xdr:row>16</xdr:row>
      <xdr:rowOff>12700</xdr:rowOff>
    </xdr:to>
    <xdr:sp macro="" textlink="">
      <xdr:nvSpPr>
        <xdr:cNvPr id="2" name="Tekstvak 1">
          <a:extLst>
            <a:ext uri="{FF2B5EF4-FFF2-40B4-BE49-F238E27FC236}">
              <a16:creationId xmlns:a16="http://schemas.microsoft.com/office/drawing/2014/main" id="{A8330338-80CA-DEE2-F047-AA88E1587481}"/>
            </a:ext>
          </a:extLst>
        </xdr:cNvPr>
        <xdr:cNvSpPr txBox="1"/>
      </xdr:nvSpPr>
      <xdr:spPr>
        <a:xfrm>
          <a:off x="4838700" y="444500"/>
          <a:ext cx="4102100" cy="3048000"/>
        </a:xfrm>
        <a:prstGeom prst="rect">
          <a:avLst/>
        </a:prstGeom>
        <a:solidFill>
          <a:schemeClr val="tx2">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Deze metingen zijn uitgevoerd met de code </a:t>
          </a:r>
          <a:r>
            <a:rPr lang="nl-NL" sz="1100" b="1" i="0" u="none" strike="noStrike">
              <a:solidFill>
                <a:schemeClr val="dk1"/>
              </a:solidFill>
              <a:effectLst/>
              <a:latin typeface="+mn-lt"/>
              <a:ea typeface="+mn-ea"/>
              <a:cs typeface="+mn-cs"/>
            </a:rPr>
            <a:t>Delay_test_code_V1.1.py</a:t>
          </a:r>
          <a:r>
            <a:rPr lang="nl-NL" sz="1100" b="0" i="0" u="none" strike="noStrike">
              <a:solidFill>
                <a:schemeClr val="dk1"/>
              </a:solidFill>
              <a:effectLst/>
              <a:latin typeface="+mn-lt"/>
              <a:ea typeface="+mn-ea"/>
              <a:cs typeface="+mn-cs"/>
            </a:rPr>
            <a:t> op </a:t>
          </a:r>
          <a:r>
            <a:rPr lang="nl-NL" sz="1100" b="1" i="0" u="none" strike="noStrike">
              <a:solidFill>
                <a:schemeClr val="dk1"/>
              </a:solidFill>
              <a:effectLst/>
              <a:latin typeface="+mn-lt"/>
              <a:ea typeface="+mn-ea"/>
              <a:cs typeface="+mn-cs"/>
            </a:rPr>
            <a:t>16-12-2024</a:t>
          </a:r>
          <a:r>
            <a:rPr lang="nl-NL" sz="1100" b="0" i="0" u="none" strike="noStrike">
              <a:solidFill>
                <a:schemeClr val="dk1"/>
              </a:solidFill>
              <a:effectLst/>
              <a:latin typeface="+mn-lt"/>
              <a:ea typeface="+mn-ea"/>
              <a:cs typeface="+mn-cs"/>
            </a:rPr>
            <a:t>.</a:t>
          </a:r>
        </a:p>
        <a:p>
          <a:endParaRPr lang="nl-NL" sz="1100" b="0" i="0" u="none" strike="noStrike">
            <a:solidFill>
              <a:schemeClr val="dk1"/>
            </a:solidFill>
            <a:effectLst/>
            <a:latin typeface="+mn-lt"/>
            <a:ea typeface="+mn-ea"/>
            <a:cs typeface="+mn-cs"/>
          </a:endParaRPr>
        </a:p>
        <a:p>
          <a:r>
            <a:rPr lang="nl-NL" sz="1100" b="0" i="0" u="none" strike="noStrike">
              <a:solidFill>
                <a:schemeClr val="dk1"/>
              </a:solidFill>
              <a:effectLst/>
              <a:latin typeface="+mn-lt"/>
              <a:ea typeface="+mn-ea"/>
              <a:cs typeface="+mn-cs"/>
            </a:rPr>
            <a:t>De code bevat nog enkele bugs, maar voert 100 metingen uit van de tijd tussen een ping die vanuit de Raspberry Pi wordt verzonden en de respons die van de M5Stack terugkomt. Dit wordt gedaan om de vertraging (delay) van de UART te testen. Het doel is om te bepalen of het noodzakelijk is om de tijd lokaal toe te voegen op de M5Stack of dat dit later aan het bericht kan worden toegevoegd.</a:t>
          </a:r>
        </a:p>
        <a:p>
          <a:endParaRPr lang="nl-NL" sz="1100" b="0" i="0" u="none" strike="noStrike">
            <a:solidFill>
              <a:schemeClr val="dk1"/>
            </a:solidFill>
            <a:effectLst/>
            <a:latin typeface="+mn-lt"/>
            <a:ea typeface="+mn-ea"/>
            <a:cs typeface="+mn-cs"/>
          </a:endParaRPr>
        </a:p>
        <a:p>
          <a:r>
            <a:rPr lang="nl-NL" sz="1100" b="0" i="0" u="none" strike="noStrike">
              <a:solidFill>
                <a:schemeClr val="dk1"/>
              </a:solidFill>
              <a:effectLst/>
              <a:latin typeface="+mn-lt"/>
              <a:ea typeface="+mn-ea"/>
              <a:cs typeface="+mn-cs"/>
            </a:rPr>
            <a:t>Daarnaast is het belangrijk om inzicht te krijgen in de vertraging van de huidige code en om te kunnen evalueren of toekomstige optimalisaties zinvol zijn. Tijdens de tests heb ik de vertraging al weten te verminderen van 1 seconde naar de huidige gemeten waarden.</a:t>
          </a:r>
        </a:p>
        <a:p>
          <a:endParaRPr lang="nl-NL" sz="1100" b="0" i="0" u="none" strike="noStrike">
            <a:solidFill>
              <a:schemeClr val="dk1"/>
            </a:solidFill>
            <a:effectLst/>
            <a:latin typeface="+mn-lt"/>
            <a:ea typeface="+mn-ea"/>
            <a:cs typeface="+mn-cs"/>
          </a:endParaRPr>
        </a:p>
        <a:p>
          <a:r>
            <a:rPr lang="nl-NL" sz="1100" b="0" i="0" u="none" strike="noStrike">
              <a:solidFill>
                <a:schemeClr val="dk1"/>
              </a:solidFill>
              <a:effectLst/>
              <a:latin typeface="+mn-lt"/>
              <a:ea typeface="+mn-ea"/>
              <a:cs typeface="+mn-cs"/>
            </a:rPr>
            <a:t>In dit bestand trek ik echter geen conclusies; ik presenteer enkel de resultaten.</a:t>
          </a:r>
        </a:p>
        <a:p>
          <a:endParaRPr lang="nl-NL" sz="1100" kern="1200"/>
        </a:p>
      </xdr:txBody>
    </xdr:sp>
    <xdr:clientData/>
  </xdr:twoCellAnchor>
  <xdr:twoCellAnchor>
    <xdr:from>
      <xdr:col>4</xdr:col>
      <xdr:colOff>12700</xdr:colOff>
      <xdr:row>17</xdr:row>
      <xdr:rowOff>0</xdr:rowOff>
    </xdr:from>
    <xdr:to>
      <xdr:col>8</xdr:col>
      <xdr:colOff>800100</xdr:colOff>
      <xdr:row>31</xdr:row>
      <xdr:rowOff>88900</xdr:rowOff>
    </xdr:to>
    <xdr:sp macro="" textlink="">
      <xdr:nvSpPr>
        <xdr:cNvPr id="3" name="Tekstvak 2">
          <a:extLst>
            <a:ext uri="{FF2B5EF4-FFF2-40B4-BE49-F238E27FC236}">
              <a16:creationId xmlns:a16="http://schemas.microsoft.com/office/drawing/2014/main" id="{0C4BCBF1-D595-978B-2938-7296CAD986E0}"/>
            </a:ext>
          </a:extLst>
        </xdr:cNvPr>
        <xdr:cNvSpPr txBox="1"/>
      </xdr:nvSpPr>
      <xdr:spPr>
        <a:xfrm>
          <a:off x="4838700" y="3683000"/>
          <a:ext cx="4089400" cy="2933700"/>
        </a:xfrm>
        <a:prstGeom prst="rect">
          <a:avLst/>
        </a:prstGeom>
        <a:solidFill>
          <a:schemeClr val="tx2">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nl-NL" sz="1100" b="1" i="0" u="none" strike="noStrike">
              <a:solidFill>
                <a:schemeClr val="dk1"/>
              </a:solidFill>
              <a:effectLst/>
              <a:latin typeface="+mn-lt"/>
              <a:ea typeface="+mn-ea"/>
              <a:cs typeface="+mn-cs"/>
            </a:rPr>
            <a:t>Bekende bugs in Delay_test_code_V1.1.py (16-12-2024)</a:t>
          </a:r>
        </a:p>
        <a:p>
          <a:endParaRPr lang="nl-NL" sz="1100" b="0" i="0" u="none" strike="noStrike">
            <a:solidFill>
              <a:schemeClr val="dk1"/>
            </a:solidFill>
            <a:effectLst/>
            <a:latin typeface="+mn-lt"/>
            <a:ea typeface="+mn-ea"/>
            <a:cs typeface="+mn-cs"/>
          </a:endParaRPr>
        </a:p>
        <a:p>
          <a:r>
            <a:rPr lang="nl-NL" sz="1100" b="0" i="0" u="none" strike="noStrike">
              <a:solidFill>
                <a:schemeClr val="dk1"/>
              </a:solidFill>
              <a:effectLst/>
              <a:latin typeface="+mn-lt"/>
              <a:ea typeface="+mn-ea"/>
              <a:cs typeface="+mn-cs"/>
            </a:rPr>
            <a:t>- Bij het versturen van een ping ontvangt de code niet direct een reactie. De code probeert daarom meerdere keren opnieuw totdat er een respons binnenkomt. Dit gedrag is aanwezig bij elke meting, maar komt niet voor in de hoofdcode. De gemeten vertraging (delay) is echter wel correct tussen de laatste ping vóór een respons en de respons zelf.</a:t>
          </a:r>
        </a:p>
        <a:p>
          <a:r>
            <a:rPr lang="nl-NL" sz="1100" b="0" i="0" u="none" strike="noStrike">
              <a:solidFill>
                <a:schemeClr val="dk1"/>
              </a:solidFill>
              <a:effectLst/>
              <a:latin typeface="+mn-lt"/>
              <a:ea typeface="+mn-ea"/>
              <a:cs typeface="+mn-cs"/>
            </a:rPr>
            <a:t>- De oorzaak van het herhaaldelijk pingen ligt bij een </a:t>
          </a:r>
          <a:r>
            <a:rPr lang="nl-NL" sz="1100" b="1" i="0" u="none" strike="noStrike">
              <a:solidFill>
                <a:schemeClr val="dk1"/>
              </a:solidFill>
              <a:effectLst/>
              <a:latin typeface="+mn-lt"/>
              <a:ea typeface="+mn-ea"/>
              <a:cs typeface="+mn-cs"/>
            </a:rPr>
            <a:t>nontype error</a:t>
          </a:r>
          <a:r>
            <a:rPr lang="nl-NL" sz="1100" b="0" i="0" u="none" strike="noStrike">
              <a:solidFill>
                <a:schemeClr val="dk1"/>
              </a:solidFill>
              <a:effectLst/>
              <a:latin typeface="+mn-lt"/>
              <a:ea typeface="+mn-ea"/>
              <a:cs typeface="+mn-cs"/>
            </a:rPr>
            <a:t> op de M5Stack. Deze fout treedt consistent op in de testcode, maar is zeldzaam in de hoofdcode. Het oplossen van deze fout heeft momenteel geen prioriteit.</a:t>
          </a:r>
        </a:p>
        <a:p>
          <a:endParaRPr lang="nl-NL" sz="1100" b="0" i="0" u="none" strike="noStrike">
            <a:solidFill>
              <a:schemeClr val="dk1"/>
            </a:solidFill>
            <a:effectLst/>
            <a:latin typeface="+mn-lt"/>
            <a:ea typeface="+mn-ea"/>
            <a:cs typeface="+mn-cs"/>
          </a:endParaRPr>
        </a:p>
        <a:p>
          <a:r>
            <a:rPr lang="nl-NL" sz="1100" b="0" i="0" u="none" strike="noStrike">
              <a:solidFill>
                <a:schemeClr val="dk1"/>
              </a:solidFill>
              <a:effectLst/>
              <a:latin typeface="+mn-lt"/>
              <a:ea typeface="+mn-ea"/>
              <a:cs typeface="+mn-cs"/>
            </a:rPr>
            <a:t>Ondanks deze bugs zijn de resultaten betrouwbaar, en kan de vertraging tussen een ping en de respons nauwkeurig worden geanalyseerd.</a:t>
          </a:r>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ADC6-60A7-694A-8816-013F8586584C}">
  <dimension ref="A1:O101"/>
  <sheetViews>
    <sheetView tabSelected="1" workbookViewId="0">
      <selection activeCell="K18" sqref="K18"/>
    </sheetView>
  </sheetViews>
  <sheetFormatPr baseColWidth="10" defaultRowHeight="16" x14ac:dyDescent="0.2"/>
  <cols>
    <col min="1" max="1" width="12.5" customWidth="1"/>
    <col min="2" max="2" width="20.83203125" bestFit="1" customWidth="1"/>
    <col min="3" max="3" width="19.1640625" customWidth="1"/>
    <col min="11" max="11" width="16.6640625" bestFit="1" customWidth="1"/>
  </cols>
  <sheetData>
    <row r="1" spans="1:15" ht="34" x14ac:dyDescent="0.2">
      <c r="A1" s="5" t="s">
        <v>0</v>
      </c>
      <c r="B1" s="6" t="s">
        <v>2</v>
      </c>
      <c r="C1" s="7" t="s">
        <v>1</v>
      </c>
    </row>
    <row r="2" spans="1:15" x14ac:dyDescent="0.2">
      <c r="A2" s="8">
        <v>1</v>
      </c>
      <c r="B2" s="2">
        <v>5.7950019836425703E-3</v>
      </c>
      <c r="C2" s="3">
        <f>B2*1000</f>
        <v>5.7950019836425701</v>
      </c>
      <c r="D2" s="1"/>
      <c r="K2" s="9" t="s">
        <v>3</v>
      </c>
      <c r="L2" s="3">
        <f>AVERAGE(C2:C101)</f>
        <v>6.3026642799377433</v>
      </c>
      <c r="M2" s="4" t="s">
        <v>4</v>
      </c>
    </row>
    <row r="3" spans="1:15" x14ac:dyDescent="0.2">
      <c r="A3" s="8">
        <v>2</v>
      </c>
      <c r="B3" s="2">
        <v>6.32071495056152E-3</v>
      </c>
      <c r="C3" s="3">
        <f t="shared" ref="C3:C66" si="0">B3*1000</f>
        <v>6.3207149505615199</v>
      </c>
      <c r="K3" s="9" t="s">
        <v>7</v>
      </c>
      <c r="L3" s="3">
        <f>_xlfn.STDEV.S(C2:C101)</f>
        <v>0.2977355499069318</v>
      </c>
      <c r="M3" s="4" t="s">
        <v>4</v>
      </c>
    </row>
    <row r="4" spans="1:15" x14ac:dyDescent="0.2">
      <c r="A4" s="8">
        <v>3</v>
      </c>
      <c r="B4" s="2">
        <v>5.6176185607910104E-3</v>
      </c>
      <c r="C4" s="3">
        <f t="shared" si="0"/>
        <v>5.6176185607910103</v>
      </c>
      <c r="K4" s="9" t="s">
        <v>6</v>
      </c>
      <c r="L4" s="3">
        <f>MAX(C2:C101)</f>
        <v>6.8771839141845703</v>
      </c>
      <c r="M4" s="4" t="s">
        <v>4</v>
      </c>
    </row>
    <row r="5" spans="1:15" x14ac:dyDescent="0.2">
      <c r="A5" s="8">
        <v>4</v>
      </c>
      <c r="B5" s="2">
        <v>6.4659118652343698E-3</v>
      </c>
      <c r="C5" s="3">
        <f t="shared" si="0"/>
        <v>6.4659118652343697</v>
      </c>
      <c r="K5" s="9" t="s">
        <v>5</v>
      </c>
      <c r="L5" s="3">
        <f>MIN(C2:C101)</f>
        <v>4.9746036529540998</v>
      </c>
      <c r="M5" s="4" t="s">
        <v>4</v>
      </c>
    </row>
    <row r="6" spans="1:15" x14ac:dyDescent="0.2">
      <c r="A6" s="8">
        <v>5</v>
      </c>
      <c r="B6" s="2">
        <v>6.46209716796875E-3</v>
      </c>
      <c r="C6" s="3">
        <f t="shared" si="0"/>
        <v>6.46209716796875</v>
      </c>
    </row>
    <row r="7" spans="1:15" x14ac:dyDescent="0.2">
      <c r="A7" s="8">
        <v>6</v>
      </c>
      <c r="B7" s="2">
        <v>6.4883232116699201E-3</v>
      </c>
      <c r="C7" s="3">
        <f t="shared" si="0"/>
        <v>6.4883232116699201</v>
      </c>
      <c r="K7" s="10" t="s">
        <v>8</v>
      </c>
      <c r="L7" s="10"/>
      <c r="M7" s="10"/>
      <c r="N7" s="10"/>
      <c r="O7" s="10"/>
    </row>
    <row r="8" spans="1:15" x14ac:dyDescent="0.2">
      <c r="A8" s="8">
        <v>7</v>
      </c>
      <c r="B8" s="2">
        <v>6.5629482269287101E-3</v>
      </c>
      <c r="C8" s="3">
        <f t="shared" si="0"/>
        <v>6.56294822692871</v>
      </c>
      <c r="K8" s="11" t="s">
        <v>9</v>
      </c>
      <c r="L8" s="11"/>
      <c r="M8" s="11"/>
      <c r="N8" s="11"/>
      <c r="O8" s="4" t="s">
        <v>4</v>
      </c>
    </row>
    <row r="9" spans="1:15" x14ac:dyDescent="0.2">
      <c r="A9" s="8">
        <v>8</v>
      </c>
      <c r="B9" s="2">
        <v>6.2413215637206997E-3</v>
      </c>
      <c r="C9" s="3">
        <f t="shared" si="0"/>
        <v>6.2413215637206996</v>
      </c>
    </row>
    <row r="10" spans="1:15" x14ac:dyDescent="0.2">
      <c r="A10" s="8">
        <v>9</v>
      </c>
      <c r="B10" s="2">
        <v>6.4933300018310504E-3</v>
      </c>
      <c r="C10" s="3">
        <f t="shared" si="0"/>
        <v>6.4933300018310502</v>
      </c>
    </row>
    <row r="11" spans="1:15" x14ac:dyDescent="0.2">
      <c r="A11" s="8">
        <v>10</v>
      </c>
      <c r="B11" s="2">
        <v>6.6485404968261701E-3</v>
      </c>
      <c r="C11" s="3">
        <f t="shared" si="0"/>
        <v>6.6485404968261701</v>
      </c>
    </row>
    <row r="12" spans="1:15" x14ac:dyDescent="0.2">
      <c r="A12" s="8">
        <v>11</v>
      </c>
      <c r="B12" s="2">
        <v>5.9223175048828099E-3</v>
      </c>
      <c r="C12" s="3">
        <f t="shared" si="0"/>
        <v>5.9223175048828098</v>
      </c>
    </row>
    <row r="13" spans="1:15" x14ac:dyDescent="0.2">
      <c r="A13" s="8">
        <v>12</v>
      </c>
      <c r="B13" s="2">
        <v>5.9099197387695304E-3</v>
      </c>
      <c r="C13" s="3">
        <f t="shared" si="0"/>
        <v>5.9099197387695304</v>
      </c>
    </row>
    <row r="14" spans="1:15" x14ac:dyDescent="0.2">
      <c r="A14" s="8">
        <v>13</v>
      </c>
      <c r="B14" s="2">
        <v>5.7327747344970703E-3</v>
      </c>
      <c r="C14" s="3">
        <f t="shared" si="0"/>
        <v>5.7327747344970703</v>
      </c>
    </row>
    <row r="15" spans="1:15" x14ac:dyDescent="0.2">
      <c r="A15" s="8">
        <v>14</v>
      </c>
      <c r="B15" s="2">
        <v>6.4737796783447196E-3</v>
      </c>
      <c r="C15" s="3">
        <f t="shared" si="0"/>
        <v>6.4737796783447195</v>
      </c>
    </row>
    <row r="16" spans="1:15" x14ac:dyDescent="0.2">
      <c r="A16" s="8">
        <v>15</v>
      </c>
      <c r="B16" s="2">
        <v>5.9683322906494097E-3</v>
      </c>
      <c r="C16" s="3">
        <f t="shared" si="0"/>
        <v>5.9683322906494096</v>
      </c>
    </row>
    <row r="17" spans="1:3" x14ac:dyDescent="0.2">
      <c r="A17" s="8">
        <v>16</v>
      </c>
      <c r="B17" s="2">
        <v>5.9688091278076102E-3</v>
      </c>
      <c r="C17" s="3">
        <f t="shared" si="0"/>
        <v>5.9688091278076101</v>
      </c>
    </row>
    <row r="18" spans="1:3" x14ac:dyDescent="0.2">
      <c r="A18" s="8">
        <v>17</v>
      </c>
      <c r="B18" s="2">
        <v>5.9213638305664002E-3</v>
      </c>
      <c r="C18" s="3">
        <f t="shared" si="0"/>
        <v>5.9213638305664</v>
      </c>
    </row>
    <row r="19" spans="1:3" x14ac:dyDescent="0.2">
      <c r="A19" s="8">
        <v>18</v>
      </c>
      <c r="B19" s="2">
        <v>6.6676139831542899E-3</v>
      </c>
      <c r="C19" s="3">
        <f t="shared" si="0"/>
        <v>6.6676139831542898</v>
      </c>
    </row>
    <row r="20" spans="1:3" x14ac:dyDescent="0.2">
      <c r="A20" s="8">
        <v>19</v>
      </c>
      <c r="B20" s="2">
        <v>6.5693855285644497E-3</v>
      </c>
      <c r="C20" s="3">
        <f t="shared" si="0"/>
        <v>6.5693855285644496</v>
      </c>
    </row>
    <row r="21" spans="1:3" x14ac:dyDescent="0.2">
      <c r="A21" s="8">
        <v>20</v>
      </c>
      <c r="B21" s="2">
        <v>6.6285133361816398E-3</v>
      </c>
      <c r="C21" s="3">
        <f t="shared" si="0"/>
        <v>6.6285133361816397</v>
      </c>
    </row>
    <row r="22" spans="1:3" x14ac:dyDescent="0.2">
      <c r="A22" s="8">
        <v>21</v>
      </c>
      <c r="B22" s="2">
        <v>6.5577030181884696E-3</v>
      </c>
      <c r="C22" s="3">
        <f t="shared" si="0"/>
        <v>6.5577030181884695</v>
      </c>
    </row>
    <row r="23" spans="1:3" x14ac:dyDescent="0.2">
      <c r="A23" s="8">
        <v>22</v>
      </c>
      <c r="B23" s="2">
        <v>5.8448314666748004E-3</v>
      </c>
      <c r="C23" s="3">
        <f t="shared" si="0"/>
        <v>5.8448314666748002</v>
      </c>
    </row>
    <row r="24" spans="1:3" x14ac:dyDescent="0.2">
      <c r="A24" s="8">
        <v>23</v>
      </c>
      <c r="B24" s="2">
        <v>5.8484077453613203E-3</v>
      </c>
      <c r="C24" s="3">
        <f t="shared" si="0"/>
        <v>5.8484077453613201</v>
      </c>
    </row>
    <row r="25" spans="1:3" x14ac:dyDescent="0.2">
      <c r="A25" s="8">
        <v>24</v>
      </c>
      <c r="B25" s="2">
        <v>5.9058666229248004E-3</v>
      </c>
      <c r="C25" s="3">
        <f t="shared" si="0"/>
        <v>5.9058666229248002</v>
      </c>
    </row>
    <row r="26" spans="1:3" x14ac:dyDescent="0.2">
      <c r="A26" s="8">
        <v>25</v>
      </c>
      <c r="B26" s="2">
        <v>6.5629482269287101E-3</v>
      </c>
      <c r="C26" s="3">
        <f t="shared" si="0"/>
        <v>6.56294822692871</v>
      </c>
    </row>
    <row r="27" spans="1:3" x14ac:dyDescent="0.2">
      <c r="A27" s="8">
        <v>26</v>
      </c>
      <c r="B27" s="2">
        <v>5.8567523956298802E-3</v>
      </c>
      <c r="C27" s="3">
        <f t="shared" si="0"/>
        <v>5.8567523956298801</v>
      </c>
    </row>
    <row r="28" spans="1:3" x14ac:dyDescent="0.2">
      <c r="A28" s="8">
        <v>27</v>
      </c>
      <c r="B28" s="2">
        <v>5.8140754699706997E-3</v>
      </c>
      <c r="C28" s="3">
        <f t="shared" si="0"/>
        <v>5.8140754699706996</v>
      </c>
    </row>
    <row r="29" spans="1:3" x14ac:dyDescent="0.2">
      <c r="A29" s="8">
        <v>28</v>
      </c>
      <c r="B29" s="2">
        <v>6.5906047821044896E-3</v>
      </c>
      <c r="C29" s="3">
        <f t="shared" si="0"/>
        <v>6.5906047821044895</v>
      </c>
    </row>
    <row r="30" spans="1:3" x14ac:dyDescent="0.2">
      <c r="A30" s="8">
        <v>29</v>
      </c>
      <c r="B30" s="2">
        <v>6.31070137023925E-3</v>
      </c>
      <c r="C30" s="3">
        <f t="shared" si="0"/>
        <v>6.3107013702392498</v>
      </c>
    </row>
    <row r="31" spans="1:3" x14ac:dyDescent="0.2">
      <c r="A31" s="8">
        <v>30</v>
      </c>
      <c r="B31" s="2">
        <v>6.3807964324951102E-3</v>
      </c>
      <c r="C31" s="3">
        <f t="shared" si="0"/>
        <v>6.3807964324951101</v>
      </c>
    </row>
    <row r="32" spans="1:3" x14ac:dyDescent="0.2">
      <c r="A32" s="8">
        <v>31</v>
      </c>
      <c r="B32" s="2">
        <v>6.4682960510253898E-3</v>
      </c>
      <c r="C32" s="3">
        <f t="shared" si="0"/>
        <v>6.4682960510253897</v>
      </c>
    </row>
    <row r="33" spans="1:3" x14ac:dyDescent="0.2">
      <c r="A33" s="8">
        <v>32</v>
      </c>
      <c r="B33" s="2">
        <v>6.8771839141845703E-3</v>
      </c>
      <c r="C33" s="3">
        <f t="shared" si="0"/>
        <v>6.8771839141845703</v>
      </c>
    </row>
    <row r="34" spans="1:3" x14ac:dyDescent="0.2">
      <c r="A34" s="8">
        <v>33</v>
      </c>
      <c r="B34" s="2">
        <v>6.4895153045654297E-3</v>
      </c>
      <c r="C34" s="3">
        <f t="shared" si="0"/>
        <v>6.4895153045654297</v>
      </c>
    </row>
    <row r="35" spans="1:3" x14ac:dyDescent="0.2">
      <c r="A35" s="8">
        <v>34</v>
      </c>
      <c r="B35" s="2">
        <v>6.3731670379638602E-3</v>
      </c>
      <c r="C35" s="3">
        <f t="shared" si="0"/>
        <v>6.3731670379638601</v>
      </c>
    </row>
    <row r="36" spans="1:3" x14ac:dyDescent="0.2">
      <c r="A36" s="8">
        <v>35</v>
      </c>
      <c r="B36" s="2">
        <v>6.4775943756103498E-3</v>
      </c>
      <c r="C36" s="3">
        <f t="shared" si="0"/>
        <v>6.4775943756103498</v>
      </c>
    </row>
    <row r="37" spans="1:3" x14ac:dyDescent="0.2">
      <c r="A37" s="8">
        <v>36</v>
      </c>
      <c r="B37" s="2">
        <v>6.4463615417480399E-3</v>
      </c>
      <c r="C37" s="3">
        <f t="shared" si="0"/>
        <v>6.4463615417480398</v>
      </c>
    </row>
    <row r="38" spans="1:3" x14ac:dyDescent="0.2">
      <c r="A38" s="8">
        <v>37</v>
      </c>
      <c r="B38" s="2">
        <v>6.0586929321289002E-3</v>
      </c>
      <c r="C38" s="3">
        <f t="shared" si="0"/>
        <v>6.0586929321289</v>
      </c>
    </row>
    <row r="39" spans="1:3" x14ac:dyDescent="0.2">
      <c r="A39" s="8">
        <v>38</v>
      </c>
      <c r="B39" s="2">
        <v>6.3948631286620998E-3</v>
      </c>
      <c r="C39" s="3">
        <f t="shared" si="0"/>
        <v>6.3948631286620996</v>
      </c>
    </row>
    <row r="40" spans="1:3" x14ac:dyDescent="0.2">
      <c r="A40" s="8">
        <v>39</v>
      </c>
      <c r="B40" s="2">
        <v>6.3979625701904297E-3</v>
      </c>
      <c r="C40" s="3">
        <f t="shared" si="0"/>
        <v>6.3979625701904297</v>
      </c>
    </row>
    <row r="41" spans="1:3" x14ac:dyDescent="0.2">
      <c r="A41" s="8">
        <v>40</v>
      </c>
      <c r="B41" s="2">
        <v>6.3383579254150304E-3</v>
      </c>
      <c r="C41" s="3">
        <f t="shared" si="0"/>
        <v>6.3383579254150302</v>
      </c>
    </row>
    <row r="42" spans="1:3" x14ac:dyDescent="0.2">
      <c r="A42" s="8">
        <v>41</v>
      </c>
      <c r="B42" s="2">
        <v>6.4239501953125E-3</v>
      </c>
      <c r="C42" s="3">
        <f t="shared" si="0"/>
        <v>6.4239501953125</v>
      </c>
    </row>
    <row r="43" spans="1:3" x14ac:dyDescent="0.2">
      <c r="A43" s="8">
        <v>42</v>
      </c>
      <c r="B43" s="2">
        <v>6.40225410461425E-3</v>
      </c>
      <c r="C43" s="3">
        <f t="shared" si="0"/>
        <v>6.4022541046142498</v>
      </c>
    </row>
    <row r="44" spans="1:3" x14ac:dyDescent="0.2">
      <c r="A44" s="8">
        <v>43</v>
      </c>
      <c r="B44" s="2">
        <v>6.5774917602539002E-3</v>
      </c>
      <c r="C44" s="3">
        <f t="shared" si="0"/>
        <v>6.5774917602539</v>
      </c>
    </row>
    <row r="45" spans="1:3" x14ac:dyDescent="0.2">
      <c r="A45" s="8">
        <v>44</v>
      </c>
      <c r="B45" s="2">
        <v>6.4020156860351502E-3</v>
      </c>
      <c r="C45" s="3">
        <f t="shared" si="0"/>
        <v>6.40201568603515</v>
      </c>
    </row>
    <row r="46" spans="1:3" x14ac:dyDescent="0.2">
      <c r="A46" s="8">
        <v>45</v>
      </c>
      <c r="B46" s="2">
        <v>6.4170360565185504E-3</v>
      </c>
      <c r="C46" s="3">
        <f t="shared" si="0"/>
        <v>6.4170360565185502</v>
      </c>
    </row>
    <row r="47" spans="1:3" x14ac:dyDescent="0.2">
      <c r="A47" s="8">
        <v>46</v>
      </c>
      <c r="B47" s="2">
        <v>6.4871311187744097E-3</v>
      </c>
      <c r="C47" s="3">
        <f t="shared" si="0"/>
        <v>6.4871311187744096</v>
      </c>
    </row>
    <row r="48" spans="1:3" x14ac:dyDescent="0.2">
      <c r="A48" s="8">
        <v>47</v>
      </c>
      <c r="B48" s="2">
        <v>6.3526630401611302E-3</v>
      </c>
      <c r="C48" s="3">
        <f t="shared" si="0"/>
        <v>6.3526630401611301</v>
      </c>
    </row>
    <row r="49" spans="1:3" x14ac:dyDescent="0.2">
      <c r="A49" s="8">
        <v>48</v>
      </c>
      <c r="B49" s="2">
        <v>5.7778358459472604E-3</v>
      </c>
      <c r="C49" s="3">
        <f t="shared" si="0"/>
        <v>5.7778358459472603</v>
      </c>
    </row>
    <row r="50" spans="1:3" x14ac:dyDescent="0.2">
      <c r="A50" s="8">
        <v>49</v>
      </c>
      <c r="B50" s="2">
        <v>6.0098171234130799E-3</v>
      </c>
      <c r="C50" s="3">
        <f t="shared" si="0"/>
        <v>6.0098171234130797</v>
      </c>
    </row>
    <row r="51" spans="1:3" x14ac:dyDescent="0.2">
      <c r="A51" s="8">
        <v>50</v>
      </c>
      <c r="B51" s="2">
        <v>6.4637660980224601E-3</v>
      </c>
      <c r="C51" s="3">
        <f t="shared" si="0"/>
        <v>6.46376609802246</v>
      </c>
    </row>
    <row r="52" spans="1:3" x14ac:dyDescent="0.2">
      <c r="A52" s="8">
        <v>51</v>
      </c>
      <c r="B52" s="2">
        <v>6.1488151550292899E-3</v>
      </c>
      <c r="C52" s="3">
        <f t="shared" si="0"/>
        <v>6.1488151550292898</v>
      </c>
    </row>
    <row r="53" spans="1:3" x14ac:dyDescent="0.2">
      <c r="A53" s="8">
        <v>52</v>
      </c>
      <c r="B53" s="2">
        <v>6.4811706542968698E-3</v>
      </c>
      <c r="C53" s="3">
        <f t="shared" si="0"/>
        <v>6.4811706542968697</v>
      </c>
    </row>
    <row r="54" spans="1:3" x14ac:dyDescent="0.2">
      <c r="A54" s="8">
        <v>53</v>
      </c>
      <c r="B54" s="2">
        <v>6.4108371734619097E-3</v>
      </c>
      <c r="C54" s="3">
        <f t="shared" si="0"/>
        <v>6.4108371734619096</v>
      </c>
    </row>
    <row r="55" spans="1:3" x14ac:dyDescent="0.2">
      <c r="A55" s="8">
        <v>54</v>
      </c>
      <c r="B55" s="2">
        <v>6.27493858337402E-3</v>
      </c>
      <c r="C55" s="3">
        <f t="shared" si="0"/>
        <v>6.2749385833740199</v>
      </c>
    </row>
    <row r="56" spans="1:3" x14ac:dyDescent="0.2">
      <c r="A56" s="8">
        <v>55</v>
      </c>
      <c r="B56" s="2">
        <v>6.4589977264404297E-3</v>
      </c>
      <c r="C56" s="3">
        <f t="shared" si="0"/>
        <v>6.4589977264404297</v>
      </c>
    </row>
    <row r="57" spans="1:3" x14ac:dyDescent="0.2">
      <c r="A57" s="8">
        <v>56</v>
      </c>
      <c r="B57" s="2">
        <v>6.4482688903808498E-3</v>
      </c>
      <c r="C57" s="3">
        <f t="shared" si="0"/>
        <v>6.4482688903808496</v>
      </c>
    </row>
    <row r="58" spans="1:3" x14ac:dyDescent="0.2">
      <c r="A58" s="8">
        <v>57</v>
      </c>
      <c r="B58" s="2">
        <v>6.4592361450195304E-3</v>
      </c>
      <c r="C58" s="3">
        <f t="shared" si="0"/>
        <v>6.4592361450195304</v>
      </c>
    </row>
    <row r="59" spans="1:3" x14ac:dyDescent="0.2">
      <c r="A59" s="8">
        <v>58</v>
      </c>
      <c r="B59" s="2">
        <v>6.2127113342285104E-3</v>
      </c>
      <c r="C59" s="3">
        <f t="shared" si="0"/>
        <v>6.2127113342285103</v>
      </c>
    </row>
    <row r="60" spans="1:3" x14ac:dyDescent="0.2">
      <c r="A60" s="8">
        <v>59</v>
      </c>
      <c r="B60" s="2">
        <v>5.4385662078857396E-3</v>
      </c>
      <c r="C60" s="3">
        <f t="shared" si="0"/>
        <v>5.4385662078857395</v>
      </c>
    </row>
    <row r="61" spans="1:3" x14ac:dyDescent="0.2">
      <c r="A61" s="8">
        <v>60</v>
      </c>
      <c r="B61" s="2">
        <v>6.47854804992675E-3</v>
      </c>
      <c r="C61" s="3">
        <f t="shared" si="0"/>
        <v>6.4785480499267498</v>
      </c>
    </row>
    <row r="62" spans="1:3" x14ac:dyDescent="0.2">
      <c r="A62" s="8">
        <v>61</v>
      </c>
      <c r="B62" s="2">
        <v>6.4971446990966797E-3</v>
      </c>
      <c r="C62" s="3">
        <f t="shared" si="0"/>
        <v>6.4971446990966797</v>
      </c>
    </row>
    <row r="63" spans="1:3" x14ac:dyDescent="0.2">
      <c r="A63" s="8">
        <v>62</v>
      </c>
      <c r="B63" s="2">
        <v>6.5050125122070304E-3</v>
      </c>
      <c r="C63" s="3">
        <f t="shared" si="0"/>
        <v>6.5050125122070304</v>
      </c>
    </row>
    <row r="64" spans="1:3" x14ac:dyDescent="0.2">
      <c r="A64" s="8">
        <v>63</v>
      </c>
      <c r="B64" s="2">
        <v>5.8259963989257804E-3</v>
      </c>
      <c r="C64" s="3">
        <f t="shared" si="0"/>
        <v>5.8259963989257804</v>
      </c>
    </row>
    <row r="65" spans="1:3" x14ac:dyDescent="0.2">
      <c r="A65" s="8">
        <v>64</v>
      </c>
      <c r="B65" s="2">
        <v>6.4406394958495998E-3</v>
      </c>
      <c r="C65" s="3">
        <f t="shared" si="0"/>
        <v>6.4406394958495996</v>
      </c>
    </row>
    <row r="66" spans="1:3" x14ac:dyDescent="0.2">
      <c r="A66" s="8">
        <v>65</v>
      </c>
      <c r="B66" s="2">
        <v>6.4904689788818299E-3</v>
      </c>
      <c r="C66" s="3">
        <f t="shared" si="0"/>
        <v>6.4904689788818297</v>
      </c>
    </row>
    <row r="67" spans="1:3" x14ac:dyDescent="0.2">
      <c r="A67" s="8">
        <v>66</v>
      </c>
      <c r="B67" s="2">
        <v>6.5093040466308498E-3</v>
      </c>
      <c r="C67" s="3">
        <f t="shared" ref="C67:C101" si="1">B67*1000</f>
        <v>6.5093040466308496</v>
      </c>
    </row>
    <row r="68" spans="1:3" x14ac:dyDescent="0.2">
      <c r="A68" s="8">
        <v>67</v>
      </c>
      <c r="B68" s="2">
        <v>6.4404010772705E-3</v>
      </c>
      <c r="C68" s="3">
        <f t="shared" si="1"/>
        <v>6.4404010772704998</v>
      </c>
    </row>
    <row r="69" spans="1:3" x14ac:dyDescent="0.2">
      <c r="A69" s="8">
        <v>68</v>
      </c>
      <c r="B69" s="2">
        <v>6.0694217681884696E-3</v>
      </c>
      <c r="C69" s="3">
        <f t="shared" si="1"/>
        <v>6.0694217681884695</v>
      </c>
    </row>
    <row r="70" spans="1:3" x14ac:dyDescent="0.2">
      <c r="A70" s="8">
        <v>69</v>
      </c>
      <c r="B70" s="2">
        <v>6.5050125122070304E-3</v>
      </c>
      <c r="C70" s="3">
        <f t="shared" si="1"/>
        <v>6.5050125122070304</v>
      </c>
    </row>
    <row r="71" spans="1:3" x14ac:dyDescent="0.2">
      <c r="A71" s="8">
        <v>70</v>
      </c>
      <c r="B71" s="2">
        <v>6.4346790313720703E-3</v>
      </c>
      <c r="C71" s="3">
        <f t="shared" si="1"/>
        <v>6.4346790313720703</v>
      </c>
    </row>
    <row r="72" spans="1:3" x14ac:dyDescent="0.2">
      <c r="A72" s="8">
        <v>71</v>
      </c>
      <c r="B72" s="2">
        <v>6.4220428466796797E-3</v>
      </c>
      <c r="C72" s="3">
        <f t="shared" si="1"/>
        <v>6.4220428466796795</v>
      </c>
    </row>
    <row r="73" spans="1:3" x14ac:dyDescent="0.2">
      <c r="A73" s="8">
        <v>72</v>
      </c>
      <c r="B73" s="2">
        <v>6.3288211822509696E-3</v>
      </c>
      <c r="C73" s="3">
        <f t="shared" si="1"/>
        <v>6.3288211822509695</v>
      </c>
    </row>
    <row r="74" spans="1:3" x14ac:dyDescent="0.2">
      <c r="A74" s="8">
        <v>73</v>
      </c>
      <c r="B74" s="2">
        <v>6.4151287078857396E-3</v>
      </c>
      <c r="C74" s="3">
        <f t="shared" si="1"/>
        <v>6.4151287078857395</v>
      </c>
    </row>
    <row r="75" spans="1:3" x14ac:dyDescent="0.2">
      <c r="A75" s="8">
        <v>74</v>
      </c>
      <c r="B75" s="2">
        <v>6.3931941986083898E-3</v>
      </c>
      <c r="C75" s="3">
        <f t="shared" si="1"/>
        <v>6.3931941986083896</v>
      </c>
    </row>
    <row r="76" spans="1:3" x14ac:dyDescent="0.2">
      <c r="A76" s="8">
        <v>75</v>
      </c>
      <c r="B76" s="2">
        <v>6.4878463745117101E-3</v>
      </c>
      <c r="C76" s="3">
        <f t="shared" si="1"/>
        <v>6.4878463745117099</v>
      </c>
    </row>
    <row r="77" spans="1:3" x14ac:dyDescent="0.2">
      <c r="A77" s="8">
        <v>76</v>
      </c>
      <c r="B77" s="2">
        <v>6.4325332641601502E-3</v>
      </c>
      <c r="C77" s="3">
        <f t="shared" si="1"/>
        <v>6.43253326416015</v>
      </c>
    </row>
    <row r="78" spans="1:3" x14ac:dyDescent="0.2">
      <c r="A78" s="8">
        <v>77</v>
      </c>
      <c r="B78" s="2">
        <v>6.4032077789306597E-3</v>
      </c>
      <c r="C78" s="3">
        <f t="shared" si="1"/>
        <v>6.4032077789306596</v>
      </c>
    </row>
    <row r="79" spans="1:3" x14ac:dyDescent="0.2">
      <c r="A79" s="8">
        <v>78</v>
      </c>
      <c r="B79" s="2">
        <v>6.45971298217773E-3</v>
      </c>
      <c r="C79" s="3">
        <f t="shared" si="1"/>
        <v>6.4597129821777299</v>
      </c>
    </row>
    <row r="80" spans="1:3" x14ac:dyDescent="0.2">
      <c r="A80" s="8">
        <v>79</v>
      </c>
      <c r="B80" s="2">
        <v>4.9746036529540998E-3</v>
      </c>
      <c r="C80" s="3">
        <f t="shared" si="1"/>
        <v>4.9746036529540998</v>
      </c>
    </row>
    <row r="81" spans="1:3" x14ac:dyDescent="0.2">
      <c r="A81" s="8">
        <v>80</v>
      </c>
      <c r="B81" s="2">
        <v>6.1531066894531198E-3</v>
      </c>
      <c r="C81" s="3">
        <f t="shared" si="1"/>
        <v>6.1531066894531197</v>
      </c>
    </row>
    <row r="82" spans="1:3" x14ac:dyDescent="0.2">
      <c r="A82" s="8">
        <v>81</v>
      </c>
      <c r="B82" s="2">
        <v>6.4527988433837804E-3</v>
      </c>
      <c r="C82" s="3">
        <f t="shared" si="1"/>
        <v>6.4527988433837802</v>
      </c>
    </row>
    <row r="83" spans="1:3" x14ac:dyDescent="0.2">
      <c r="A83" s="8">
        <v>82</v>
      </c>
      <c r="B83" s="2">
        <v>6.3533782958984297E-3</v>
      </c>
      <c r="C83" s="3">
        <f t="shared" si="1"/>
        <v>6.3533782958984295</v>
      </c>
    </row>
    <row r="84" spans="1:3" x14ac:dyDescent="0.2">
      <c r="A84" s="8">
        <v>83</v>
      </c>
      <c r="B84" s="2">
        <v>6.3245296478271398E-3</v>
      </c>
      <c r="C84" s="3">
        <f t="shared" si="1"/>
        <v>6.3245296478271396</v>
      </c>
    </row>
    <row r="85" spans="1:3" x14ac:dyDescent="0.2">
      <c r="A85" s="8">
        <v>84</v>
      </c>
      <c r="B85" s="2">
        <v>6.5224170684814401E-3</v>
      </c>
      <c r="C85" s="3">
        <f t="shared" si="1"/>
        <v>6.52241706848144</v>
      </c>
    </row>
    <row r="86" spans="1:3" x14ac:dyDescent="0.2">
      <c r="A86" s="8">
        <v>85</v>
      </c>
      <c r="B86" s="2">
        <v>5.7954788208007804E-3</v>
      </c>
      <c r="C86" s="3">
        <f t="shared" si="1"/>
        <v>5.7954788208007804</v>
      </c>
    </row>
    <row r="87" spans="1:3" x14ac:dyDescent="0.2">
      <c r="A87" s="8">
        <v>86</v>
      </c>
      <c r="B87" s="2">
        <v>6.2034130096435504E-3</v>
      </c>
      <c r="C87" s="3">
        <f t="shared" si="1"/>
        <v>6.2034130096435502</v>
      </c>
    </row>
    <row r="88" spans="1:3" x14ac:dyDescent="0.2">
      <c r="A88" s="8">
        <v>87</v>
      </c>
      <c r="B88" s="2">
        <v>6.41632080078125E-3</v>
      </c>
      <c r="C88" s="3">
        <f t="shared" si="1"/>
        <v>6.41632080078125</v>
      </c>
    </row>
    <row r="89" spans="1:3" x14ac:dyDescent="0.2">
      <c r="A89" s="8">
        <v>88</v>
      </c>
      <c r="B89" s="2">
        <v>6.4508914947509696E-3</v>
      </c>
      <c r="C89" s="3">
        <f t="shared" si="1"/>
        <v>6.4508914947509695</v>
      </c>
    </row>
    <row r="90" spans="1:3" x14ac:dyDescent="0.2">
      <c r="A90" s="8">
        <v>89</v>
      </c>
      <c r="B90" s="2">
        <v>6.0775279998779297E-3</v>
      </c>
      <c r="C90" s="3">
        <f t="shared" si="1"/>
        <v>6.0775279998779297</v>
      </c>
    </row>
    <row r="91" spans="1:3" x14ac:dyDescent="0.2">
      <c r="A91" s="8">
        <v>90</v>
      </c>
      <c r="B91" s="2">
        <v>6.3884258270263602E-3</v>
      </c>
      <c r="C91" s="3">
        <f t="shared" si="1"/>
        <v>6.3884258270263601</v>
      </c>
    </row>
    <row r="92" spans="1:3" x14ac:dyDescent="0.2">
      <c r="A92" s="8">
        <v>91</v>
      </c>
      <c r="B92" s="2">
        <v>6.4644813537597604E-3</v>
      </c>
      <c r="C92" s="3">
        <f t="shared" si="1"/>
        <v>6.4644813537597603</v>
      </c>
    </row>
    <row r="93" spans="1:3" x14ac:dyDescent="0.2">
      <c r="A93" s="8">
        <v>92</v>
      </c>
      <c r="B93" s="2">
        <v>6.4101219177245998E-3</v>
      </c>
      <c r="C93" s="3">
        <f t="shared" si="1"/>
        <v>6.4101219177245996</v>
      </c>
    </row>
    <row r="94" spans="1:3" x14ac:dyDescent="0.2">
      <c r="A94" s="8">
        <v>93</v>
      </c>
      <c r="B94" s="2">
        <v>6.4654350280761701E-3</v>
      </c>
      <c r="C94" s="3">
        <f t="shared" si="1"/>
        <v>6.4654350280761701</v>
      </c>
    </row>
    <row r="95" spans="1:3" x14ac:dyDescent="0.2">
      <c r="A95" s="8">
        <v>94</v>
      </c>
      <c r="B95" s="2">
        <v>6.4041614532470703E-3</v>
      </c>
      <c r="C95" s="3">
        <f t="shared" si="1"/>
        <v>6.4041614532470703</v>
      </c>
    </row>
    <row r="96" spans="1:3" x14ac:dyDescent="0.2">
      <c r="A96" s="8">
        <v>95</v>
      </c>
      <c r="B96" s="2">
        <v>6.4539909362792899E-3</v>
      </c>
      <c r="C96" s="3">
        <f t="shared" si="1"/>
        <v>6.4539909362792898</v>
      </c>
    </row>
    <row r="97" spans="1:3" x14ac:dyDescent="0.2">
      <c r="A97" s="8">
        <v>96</v>
      </c>
      <c r="B97" s="2">
        <v>6.4284801483154297E-3</v>
      </c>
      <c r="C97" s="3">
        <f t="shared" si="1"/>
        <v>6.4284801483154297</v>
      </c>
    </row>
    <row r="98" spans="1:3" x14ac:dyDescent="0.2">
      <c r="A98" s="8">
        <v>97</v>
      </c>
      <c r="B98" s="2">
        <v>6.25967979431152E-3</v>
      </c>
      <c r="C98" s="3">
        <f t="shared" si="1"/>
        <v>6.2596797943115199</v>
      </c>
    </row>
    <row r="99" spans="1:3" x14ac:dyDescent="0.2">
      <c r="A99" s="8">
        <v>98</v>
      </c>
      <c r="B99" s="2">
        <v>6.1166286468505799E-3</v>
      </c>
      <c r="C99" s="3">
        <f t="shared" si="1"/>
        <v>6.1166286468505797</v>
      </c>
    </row>
    <row r="100" spans="1:3" x14ac:dyDescent="0.2">
      <c r="A100" s="8">
        <v>99</v>
      </c>
      <c r="B100" s="2">
        <v>6.4599514007568299E-3</v>
      </c>
      <c r="C100" s="3">
        <f t="shared" si="1"/>
        <v>6.4599514007568297</v>
      </c>
    </row>
    <row r="101" spans="1:3" x14ac:dyDescent="0.2">
      <c r="A101" s="8">
        <v>100</v>
      </c>
      <c r="B101" s="2">
        <v>6.6506862640380799E-3</v>
      </c>
      <c r="C101" s="3">
        <f t="shared" si="1"/>
        <v>6.6506862640380797</v>
      </c>
    </row>
  </sheetData>
  <mergeCells count="2">
    <mergeCell ref="K7:O7"/>
    <mergeCell ref="K8:N8"/>
  </mergeCells>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DBF941A1371249B6E3B062A6233B81" ma:contentTypeVersion="7" ma:contentTypeDescription="Een nieuw document maken." ma:contentTypeScope="" ma:versionID="8668fdb5032d0316c4800d5c9daaebfc">
  <xsd:schema xmlns:xsd="http://www.w3.org/2001/XMLSchema" xmlns:xs="http://www.w3.org/2001/XMLSchema" xmlns:p="http://schemas.microsoft.com/office/2006/metadata/properties" xmlns:ns2="87f3fe89-4fa0-42ec-ad8f-224c7fc41cf4" targetNamespace="http://schemas.microsoft.com/office/2006/metadata/properties" ma:root="true" ma:fieldsID="b2101b2fa94b8f31e14fc19a480ef578" ns2:_="">
    <xsd:import namespace="87f3fe89-4fa0-42ec-ad8f-224c7fc41c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f3fe89-4fa0-42ec-ad8f-224c7fc41c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AD8C1F-B043-4AE3-90F0-75D27125EB48}"/>
</file>

<file path=customXml/itemProps2.xml><?xml version="1.0" encoding="utf-8"?>
<ds:datastoreItem xmlns:ds="http://schemas.openxmlformats.org/officeDocument/2006/customXml" ds:itemID="{0676F421-127A-44BB-B7F0-0AED4DD1E505}"/>
</file>

<file path=customXml/itemProps3.xml><?xml version="1.0" encoding="utf-8"?>
<ds:datastoreItem xmlns:ds="http://schemas.openxmlformats.org/officeDocument/2006/customXml" ds:itemID="{73E92BBE-ED8C-4E7B-BC55-39325297E4B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 van der Meer (20110790)</dc:creator>
  <cp:lastModifiedBy>Mik van der Meer (20110790)</cp:lastModifiedBy>
  <dcterms:created xsi:type="dcterms:W3CDTF">2024-12-16T17:29:03Z</dcterms:created>
  <dcterms:modified xsi:type="dcterms:W3CDTF">2024-12-16T22:01:11Z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0x0101006FDBF941A1371249B6E3B062A6233B81</vt:lpwstr>
  </property>
</Properties>
</file>